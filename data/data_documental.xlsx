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ristian_navarrete_alumni_uc_cl/Documents/Papers/In progress/Developmental_state/data/"/>
    </mc:Choice>
  </mc:AlternateContent>
  <xr:revisionPtr revIDLastSave="29" documentId="11_324E8587CA6B4A7DF9FF63E5EF012D16810B6DA6" xr6:coauthVersionLast="47" xr6:coauthVersionMax="47" xr10:uidLastSave="{88AB362B-69B5-494A-87F1-3906CF31BF7B}"/>
  <bookViews>
    <workbookView xWindow="0" yWindow="680" windowWidth="29400" windowHeight="18440" xr2:uid="{00000000-000D-0000-FFFF-FFFF00000000}"/>
  </bookViews>
  <sheets>
    <sheet name="Institutions count" sheetId="3" r:id="rId1"/>
    <sheet name="Institution count by actions" sheetId="5" r:id="rId2"/>
  </sheets>
  <definedNames>
    <definedName name="ExternalData_1" localSheetId="1" hidden="1">'Institution count by actions'!$A$1:$S$44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6" i="5" l="1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B25" i="3"/>
  <c r="B7" i="3"/>
  <c r="B26" i="3"/>
  <c r="B8" i="3"/>
  <c r="B9" i="3"/>
  <c r="B27" i="3"/>
  <c r="B10" i="3"/>
  <c r="B21" i="3"/>
  <c r="B11" i="3"/>
  <c r="B22" i="3"/>
  <c r="B32" i="3"/>
  <c r="B12" i="3"/>
  <c r="B13" i="3"/>
  <c r="B14" i="3"/>
  <c r="B15" i="3"/>
  <c r="B16" i="3"/>
  <c r="B23" i="3"/>
  <c r="B44" i="3"/>
  <c r="B38" i="3"/>
  <c r="B17" i="3"/>
  <c r="B36" i="3"/>
  <c r="B39" i="3"/>
  <c r="B24" i="3"/>
  <c r="B43" i="3"/>
  <c r="B41" i="3"/>
  <c r="B34" i="3"/>
  <c r="B37" i="3"/>
  <c r="B28" i="3"/>
  <c r="B40" i="3"/>
  <c r="B33" i="3"/>
  <c r="B29" i="3"/>
  <c r="B18" i="3"/>
  <c r="B30" i="3"/>
  <c r="B2" i="3"/>
  <c r="B35" i="3"/>
  <c r="B3" i="3"/>
  <c r="B19" i="3"/>
  <c r="B4" i="3"/>
  <c r="B31" i="3"/>
  <c r="B20" i="3"/>
  <c r="B5" i="3"/>
  <c r="B6" i="3"/>
  <c r="B4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2AFC1B-B665-8049-9831-091A0986F82D}" keepAlive="1" name="Query - Institution_Category_Counts" description="Connection to the 'Institution_Category_Counts' query in the workbook." type="5" refreshedVersion="8" background="1" saveData="1">
    <dbPr connection="Provider=Microsoft.Mashup.OleDb.1;Data Source=$Workbook$;Location=Institution_Category_Counts;Extended Properties=&quot;&quot;" command="SELECT * FROM [Institution_Category_Counts]"/>
  </connection>
</connections>
</file>

<file path=xl/sharedStrings.xml><?xml version="1.0" encoding="utf-8"?>
<sst xmlns="http://schemas.openxmlformats.org/spreadsheetml/2006/main" count="189" uniqueCount="165">
  <si>
    <t>Education</t>
  </si>
  <si>
    <t>Gender</t>
  </si>
  <si>
    <t>Institution</t>
  </si>
  <si>
    <t>Count</t>
  </si>
  <si>
    <t>CORFO</t>
  </si>
  <si>
    <t>Energy</t>
  </si>
  <si>
    <t>Regional governments</t>
  </si>
  <si>
    <t>Green Hydrogen Industry Development Committee</t>
  </si>
  <si>
    <t xml:space="preserve">Spanish Agency for International Development Cooperation </t>
  </si>
  <si>
    <t>National Assets</t>
  </si>
  <si>
    <t>Economy</t>
  </si>
  <si>
    <t>Development and tourism</t>
  </si>
  <si>
    <t>Finance</t>
  </si>
  <si>
    <t>Environment</t>
  </si>
  <si>
    <t>GIZ RH2</t>
  </si>
  <si>
    <t xml:space="preserve">Sustainable Productive Development Programme </t>
  </si>
  <si>
    <t>Environmental Evaluation Service</t>
  </si>
  <si>
    <t>Health</t>
  </si>
  <si>
    <t xml:space="preserve">Social Development and Family, </t>
  </si>
  <si>
    <t>Labour and Social Welfare</t>
  </si>
  <si>
    <t xml:space="preserve">Sustainability and Climate Change Agency </t>
  </si>
  <si>
    <t>Transport and Telecommunications</t>
  </si>
  <si>
    <t>Mining</t>
  </si>
  <si>
    <t>Public Works</t>
  </si>
  <si>
    <t>A1.1</t>
  </si>
  <si>
    <t>A1.2</t>
  </si>
  <si>
    <t>A1.3</t>
  </si>
  <si>
    <t>A1.4</t>
  </si>
  <si>
    <t>A1.5</t>
  </si>
  <si>
    <t>A1.6</t>
  </si>
  <si>
    <t>A2.1</t>
  </si>
  <si>
    <t>A2.2</t>
  </si>
  <si>
    <t>A2.3</t>
  </si>
  <si>
    <t>A2.4</t>
  </si>
  <si>
    <t>A3.1</t>
  </si>
  <si>
    <t>A3.2</t>
  </si>
  <si>
    <t>A3.3</t>
  </si>
  <si>
    <t>A3.4</t>
  </si>
  <si>
    <t>A3.5</t>
  </si>
  <si>
    <t>A3.6</t>
  </si>
  <si>
    <t>A3.7</t>
  </si>
  <si>
    <t>A3.8</t>
  </si>
  <si>
    <t>A3.9</t>
  </si>
  <si>
    <t>A3.10</t>
  </si>
  <si>
    <t>A4.1</t>
  </si>
  <si>
    <t>A4.2</t>
  </si>
  <si>
    <t>A4.3</t>
  </si>
  <si>
    <t>A5.1</t>
  </si>
  <si>
    <t>A5.2</t>
  </si>
  <si>
    <t>A5.3</t>
  </si>
  <si>
    <t>A5.4</t>
  </si>
  <si>
    <t>A6.1</t>
  </si>
  <si>
    <t>A6.2</t>
  </si>
  <si>
    <t>A7.1</t>
  </si>
  <si>
    <t>Superintendency of Electricity and Fuels</t>
  </si>
  <si>
    <t>A7.2</t>
  </si>
  <si>
    <t>A7.3</t>
  </si>
  <si>
    <t>A7.4</t>
  </si>
  <si>
    <t>A7.5</t>
  </si>
  <si>
    <t>A8.1</t>
  </si>
  <si>
    <t xml:space="preserve">Public Works </t>
  </si>
  <si>
    <t xml:space="preserve">Housing and Urban Planning, </t>
  </si>
  <si>
    <t xml:space="preserve">Interministerial Commission on Urban Development, Housing, and Territory </t>
  </si>
  <si>
    <t>Interior</t>
  </si>
  <si>
    <t>Municipalities</t>
  </si>
  <si>
    <t>Companies</t>
  </si>
  <si>
    <t>A8.2</t>
  </si>
  <si>
    <t>A8.3</t>
  </si>
  <si>
    <t>Defence</t>
  </si>
  <si>
    <t>A8.4</t>
  </si>
  <si>
    <t xml:space="preserve">State-Owned Enterprises System </t>
  </si>
  <si>
    <t xml:space="preserve">Austral Port Company </t>
  </si>
  <si>
    <t xml:space="preserve">National Petroleum Company </t>
  </si>
  <si>
    <t>A9.1</t>
  </si>
  <si>
    <t>A9.2</t>
  </si>
  <si>
    <t>A9.3</t>
  </si>
  <si>
    <t>A9.4</t>
  </si>
  <si>
    <t>A10.1</t>
  </si>
  <si>
    <t xml:space="preserve">Undersecretariat of Regional and Administrative Development, </t>
  </si>
  <si>
    <t>A10.2</t>
  </si>
  <si>
    <t>A10.3</t>
  </si>
  <si>
    <t>A11.1</t>
  </si>
  <si>
    <t>A11.2</t>
  </si>
  <si>
    <t>A11.3</t>
  </si>
  <si>
    <t>A11.4</t>
  </si>
  <si>
    <t>A12.1</t>
  </si>
  <si>
    <t>National Energy Commission</t>
  </si>
  <si>
    <t>A12.2</t>
  </si>
  <si>
    <t>A12.3</t>
  </si>
  <si>
    <t>A12.4</t>
  </si>
  <si>
    <t>A12.5</t>
  </si>
  <si>
    <t>A13.1</t>
  </si>
  <si>
    <t>Metropolitan Public Transport Directorate</t>
  </si>
  <si>
    <t>A13.2</t>
  </si>
  <si>
    <t>A14.1</t>
  </si>
  <si>
    <t>A14.2</t>
  </si>
  <si>
    <t>A14.3</t>
  </si>
  <si>
    <t>A15.1</t>
  </si>
  <si>
    <t>National Agency for Research and Development</t>
  </si>
  <si>
    <t>A15.2</t>
  </si>
  <si>
    <t>A15.3</t>
  </si>
  <si>
    <t>A15.4</t>
  </si>
  <si>
    <t>A15.5</t>
  </si>
  <si>
    <t>A15.6</t>
  </si>
  <si>
    <t>A16.1</t>
  </si>
  <si>
    <t>Women and Gender Equity</t>
  </si>
  <si>
    <t>A16.2</t>
  </si>
  <si>
    <t>A16.3</t>
  </si>
  <si>
    <t>A16.4</t>
  </si>
  <si>
    <t>A17.1</t>
  </si>
  <si>
    <t xml:space="preserve">Science, Technology, Knowledge, and Innovation, </t>
  </si>
  <si>
    <t>Navy</t>
  </si>
  <si>
    <t>National Institute of Industrial Property</t>
  </si>
  <si>
    <t>A17.2</t>
  </si>
  <si>
    <t>A17.3</t>
  </si>
  <si>
    <t>A17.4</t>
  </si>
  <si>
    <t>A17.5</t>
  </si>
  <si>
    <t>A18.1</t>
  </si>
  <si>
    <t>ProChile</t>
  </si>
  <si>
    <t>InvestChile</t>
  </si>
  <si>
    <t>Foreign Affairs</t>
  </si>
  <si>
    <t>A18.2</t>
  </si>
  <si>
    <t>A18.3</t>
  </si>
  <si>
    <t>A18.4</t>
  </si>
  <si>
    <t>A18.5</t>
  </si>
  <si>
    <t>A18.6</t>
  </si>
  <si>
    <t>A18.7</t>
  </si>
  <si>
    <t>total</t>
  </si>
  <si>
    <t>Governance</t>
  </si>
  <si>
    <t>Information</t>
  </si>
  <si>
    <t>Economic_mechs</t>
  </si>
  <si>
    <t>Environmental_manage</t>
  </si>
  <si>
    <t>Sustainability</t>
  </si>
  <si>
    <t>Regulatory_enable</t>
  </si>
  <si>
    <t>Permitting</t>
  </si>
  <si>
    <t>Compatibility</t>
  </si>
  <si>
    <t>Enabling_infra</t>
  </si>
  <si>
    <t>Demographic</t>
  </si>
  <si>
    <t>Electrictiry_trans</t>
  </si>
  <si>
    <t>Decarbonising</t>
  </si>
  <si>
    <t>Demonstrative</t>
  </si>
  <si>
    <t>Productive_link</t>
  </si>
  <si>
    <t>Human_cap</t>
  </si>
  <si>
    <t>Research</t>
  </si>
  <si>
    <t>International</t>
  </si>
  <si>
    <t>M. of Energy</t>
  </si>
  <si>
    <t>M. of Education</t>
  </si>
  <si>
    <t>M. of National Assets</t>
  </si>
  <si>
    <t>M. of Economy</t>
  </si>
  <si>
    <t>M. of Development and tourism</t>
  </si>
  <si>
    <t>M. of Finance</t>
  </si>
  <si>
    <t>M. of Environment</t>
  </si>
  <si>
    <t>M. of Health</t>
  </si>
  <si>
    <t>M. of Social Development and Family</t>
  </si>
  <si>
    <t>M. of Labour and Social Welfare</t>
  </si>
  <si>
    <t>M. of Transport and Telecommunications</t>
  </si>
  <si>
    <t>M. of Mining</t>
  </si>
  <si>
    <t>M. of Public Works</t>
  </si>
  <si>
    <t>M. of Housing and Urban Planning</t>
  </si>
  <si>
    <t xml:space="preserve">M. of Public Works </t>
  </si>
  <si>
    <t>M. of Interior</t>
  </si>
  <si>
    <t>M. of Defence</t>
  </si>
  <si>
    <t>M. of Women and Gender Equity</t>
  </si>
  <si>
    <t xml:space="preserve">M. of Science, Technology, Knowledge, and Innovation, </t>
  </si>
  <si>
    <t>M. of Foreign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</si>
</sst>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268939-A48E-B946-A615-E34112AB8E43}" autoFormatId="16" applyNumberFormats="0" applyBorderFormats="0" applyFontFormats="0" applyPatternFormats="0" applyAlignmentFormats="0" applyWidthHeightFormats="0">
  <queryTableRefresh nextId="21" unboundColumnsRight="1">
    <queryTableFields count="20">
      <queryTableField id="1" name="Institution" tableColumnId="1"/>
      <queryTableField id="2" name="A1.sum" tableColumnId="2"/>
      <queryTableField id="3" name="A2.sum" tableColumnId="3"/>
      <queryTableField id="4" name="A3.sum" tableColumnId="4"/>
      <queryTableField id="5" name="A4.sum" tableColumnId="5"/>
      <queryTableField id="6" name="A5.sum" tableColumnId="6"/>
      <queryTableField id="7" name="A6.sum" tableColumnId="7"/>
      <queryTableField id="8" name="A7.sum" tableColumnId="8"/>
      <queryTableField id="9" name="A8.sum" tableColumnId="9"/>
      <queryTableField id="10" name="A9.sum" tableColumnId="10"/>
      <queryTableField id="11" name="A10.sum" tableColumnId="11"/>
      <queryTableField id="12" name="A11.sum" tableColumnId="12"/>
      <queryTableField id="13" name="A12.sum" tableColumnId="13"/>
      <queryTableField id="14" name="A13.sum" tableColumnId="14"/>
      <queryTableField id="15" name="A14.sum" tableColumnId="15"/>
      <queryTableField id="16" name="A15.sum" tableColumnId="16"/>
      <queryTableField id="17" name="A16.sum" tableColumnId="17"/>
      <queryTableField id="18" name="A17.sum" tableColumnId="18"/>
      <queryTableField id="19" name="A18.sum" tableColumnId="19"/>
      <queryTableField id="20" dataBound="0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79A846-49B9-7D49-80DE-2276272E9256}" name="Table2" displayName="Table2" ref="A1:CE44" totalsRowShown="0" headerRowDxfId="3">
  <autoFilter ref="A1:CE44" xr:uid="{FE79A846-49B9-7D49-80DE-2276272E9256}"/>
  <sortState xmlns:xlrd2="http://schemas.microsoft.com/office/spreadsheetml/2017/richdata2" ref="A2:CE44">
    <sortCondition ref="B1:B44"/>
  </sortState>
  <tableColumns count="83">
    <tableColumn id="1" xr3:uid="{E003FD12-2C85-7E40-8D6E-ACE5EB19A33E}" name="Institution" dataDxfId="2"/>
    <tableColumn id="2" xr3:uid="{42DF08E4-AC20-4343-805C-12EBEAA343B4}" name="Count">
      <calculatedColumnFormula>SUM(C2:CE2)</calculatedColumnFormula>
    </tableColumn>
    <tableColumn id="3" xr3:uid="{015053A2-DE5F-CE47-A23D-200C08A48E89}" name="A1.1"/>
    <tableColumn id="4" xr3:uid="{F2A08FF9-9760-6949-BCBD-8809F9FB461C}" name="A1.2"/>
    <tableColumn id="5" xr3:uid="{AEF3ABF3-4731-344C-A7D7-9A47A0B7D7FB}" name="A1.3"/>
    <tableColumn id="6" xr3:uid="{D295EE5C-88E6-2346-818A-FAE1CF0EB0ED}" name="A1.4"/>
    <tableColumn id="7" xr3:uid="{063D3B69-37CD-B945-87A6-FE5B613676E3}" name="A1.5"/>
    <tableColumn id="8" xr3:uid="{48B64DE3-C221-F64E-9079-90A5291832E4}" name="A1.6"/>
    <tableColumn id="9" xr3:uid="{D5006329-BDCB-2645-8496-21C2A82CB722}" name="A2.1"/>
    <tableColumn id="10" xr3:uid="{445226F6-14C5-B14D-9038-0CC1CC672A31}" name="A2.2"/>
    <tableColumn id="11" xr3:uid="{1B2EDAC3-C92B-D946-BB60-46EED843C3A2}" name="A2.3"/>
    <tableColumn id="12" xr3:uid="{D986B332-5820-574A-94AE-B7EBF4031BDC}" name="A2.4"/>
    <tableColumn id="13" xr3:uid="{37564ACA-667B-154E-8769-4889EDCE9926}" name="A3.1"/>
    <tableColumn id="14" xr3:uid="{72EBDF56-034F-7442-94C8-B75213AEC67B}" name="A3.2"/>
    <tableColumn id="15" xr3:uid="{3EDACC28-C9C6-0047-BF9E-755AFA62F70D}" name="A3.3"/>
    <tableColumn id="16" xr3:uid="{BD06C031-C7FA-424A-9B15-71357C052F34}" name="A3.4"/>
    <tableColumn id="17" xr3:uid="{3DA3F3A9-025F-D946-82AA-E60EDFAA58EF}" name="A3.5"/>
    <tableColumn id="18" xr3:uid="{D675C22B-2F69-0D47-A6EE-BBA08BC50914}" name="A3.6"/>
    <tableColumn id="19" xr3:uid="{B0809501-ED13-404F-AC20-0808755ABC50}" name="A3.7"/>
    <tableColumn id="20" xr3:uid="{22B36423-091D-CE49-9AFA-0B30D6B2264A}" name="A3.8"/>
    <tableColumn id="21" xr3:uid="{2A9207C1-139A-6341-AB84-C79D0F01B7D6}" name="A3.9"/>
    <tableColumn id="22" xr3:uid="{C10C610D-88FC-C440-8E84-4ABF9A08FF14}" name="A3.10"/>
    <tableColumn id="23" xr3:uid="{005AFFA6-5F76-9044-B3C6-50427611C075}" name="A4.1"/>
    <tableColumn id="24" xr3:uid="{BDD47AB7-9C7A-334A-A1F4-8A1E729CD3FE}" name="A4.2"/>
    <tableColumn id="25" xr3:uid="{052C440C-F4D6-B44F-B2D7-2E0B000BDE47}" name="A4.3"/>
    <tableColumn id="26" xr3:uid="{1759FE38-46E9-CB43-85C1-E8D9569789D3}" name="A5.1"/>
    <tableColumn id="27" xr3:uid="{D48E891C-3A84-2C41-8773-AC2FF8E025EB}" name="A5.2"/>
    <tableColumn id="28" xr3:uid="{BB543896-6BA4-A542-8238-67436CBAB85C}" name="A5.3"/>
    <tableColumn id="29" xr3:uid="{26F3943F-4E6E-A643-8CC7-03D9B3AF1A94}" name="A5.4"/>
    <tableColumn id="30" xr3:uid="{066E97BF-A25E-3C4A-BBE0-D8DBACA7F1A2}" name="A6.1"/>
    <tableColumn id="31" xr3:uid="{A8A6C0F9-6380-5F44-B7DC-7A1EE885D329}" name="A6.2"/>
    <tableColumn id="32" xr3:uid="{28777FEE-CA3F-8647-823A-4C6369BFA8E3}" name="A7.1"/>
    <tableColumn id="33" xr3:uid="{A8B4A87D-60D7-8546-8312-A98069D580DE}" name="A7.2"/>
    <tableColumn id="34" xr3:uid="{7A6C4654-C27A-5E47-B93A-75A587780E71}" name="A7.3"/>
    <tableColumn id="35" xr3:uid="{AC71DA88-ACC2-F140-9E14-838CC594BDC1}" name="A7.4"/>
    <tableColumn id="36" xr3:uid="{693E5130-5EE2-A648-83C8-E0C5FCFA4128}" name="A7.5"/>
    <tableColumn id="37" xr3:uid="{BC2AACBA-46A5-C943-8ECE-A105FC7B23DF}" name="A8.1"/>
    <tableColumn id="38" xr3:uid="{94571E7F-7320-A542-9159-95049A3049F7}" name="A8.2"/>
    <tableColumn id="39" xr3:uid="{9AE3A086-C490-A54B-BEAD-78688FB9A6EA}" name="A8.3"/>
    <tableColumn id="40" xr3:uid="{4B4E962A-2488-634D-B354-F40FE0EA3C54}" name="A8.4"/>
    <tableColumn id="41" xr3:uid="{01EF6B14-3253-BA48-A156-71EE350C6ECF}" name="A9.1"/>
    <tableColumn id="42" xr3:uid="{B5F305E1-8988-1641-B2BB-59116BB6AAB3}" name="A9.2"/>
    <tableColumn id="43" xr3:uid="{2081ED2B-63DA-B44B-8A7E-93C4B34FEB09}" name="A9.3"/>
    <tableColumn id="44" xr3:uid="{439FC8CE-012A-A947-9BF9-03C00EB9A153}" name="A9.4"/>
    <tableColumn id="45" xr3:uid="{D3EE3DAA-46DB-4047-8775-0BAD6E561BD6}" name="A10.1"/>
    <tableColumn id="46" xr3:uid="{0C7D66C3-D307-0548-A570-682F95352757}" name="A10.2"/>
    <tableColumn id="47" xr3:uid="{EEECD4E7-095F-E74F-AEB0-B6ACD4F9CC45}" name="A10.3"/>
    <tableColumn id="48" xr3:uid="{B4107EF9-67FF-864C-97D6-852F79DB610B}" name="A11.1"/>
    <tableColumn id="49" xr3:uid="{E7D9246B-AC3D-8145-963D-10115BF995F7}" name="A11.2"/>
    <tableColumn id="50" xr3:uid="{B4A6B2F2-E8DB-9446-9901-B5BA18924CC2}" name="A11.3"/>
    <tableColumn id="51" xr3:uid="{4D8B3EF5-9779-B846-8EEA-821567519687}" name="A11.4"/>
    <tableColumn id="52" xr3:uid="{56272F94-5CE8-F649-8F10-C8F1E485405B}" name="A12.1"/>
    <tableColumn id="53" xr3:uid="{256637CA-D5A7-8E44-8B4E-03D34310F49C}" name="A12.2"/>
    <tableColumn id="54" xr3:uid="{0AD92388-4196-C741-B8CE-61E30B351EAE}" name="A12.3"/>
    <tableColumn id="55" xr3:uid="{AB4152E7-A019-FF48-9B52-ED7AFC999E26}" name="A12.4"/>
    <tableColumn id="56" xr3:uid="{BB91B7CB-D046-7B4E-9502-BC3617D9C976}" name="A12.5"/>
    <tableColumn id="57" xr3:uid="{DE7E95D0-8EB7-D945-AEA7-73CA6796D750}" name="A13.1"/>
    <tableColumn id="58" xr3:uid="{B857D056-46AE-484E-A8BA-1EBB322B8211}" name="A13.2"/>
    <tableColumn id="59" xr3:uid="{C860FA17-9C85-C841-8770-CA375730F899}" name="A14.1"/>
    <tableColumn id="60" xr3:uid="{2C056805-32AF-4042-861B-624E90369238}" name="A14.2"/>
    <tableColumn id="61" xr3:uid="{3FB61486-85A0-5F4F-A65F-26E90AFA5BC8}" name="A14.3"/>
    <tableColumn id="62" xr3:uid="{6AADB1ED-5C2B-C048-B8A3-CB2935C6987B}" name="A15.1"/>
    <tableColumn id="63" xr3:uid="{A33A70F8-152E-9347-80DA-F3D4E390C2EC}" name="A15.2"/>
    <tableColumn id="64" xr3:uid="{6E93EF4C-C89D-8C4C-8E76-1170B569653D}" name="A15.3"/>
    <tableColumn id="65" xr3:uid="{D176BFE0-A36C-BE42-AB39-A7675C065329}" name="A15.4"/>
    <tableColumn id="66" xr3:uid="{2AEEB919-A378-BA48-9AF1-D34F6CBE0286}" name="A15.5"/>
    <tableColumn id="67" xr3:uid="{9B0AB331-DF8A-0C48-9149-A92F8A42E5D6}" name="A15.6"/>
    <tableColumn id="68" xr3:uid="{DDAB4FE5-8E60-244C-AFD8-1A91F2A755AE}" name="A16.1"/>
    <tableColumn id="69" xr3:uid="{4C6BF371-33E5-274B-BA5F-B1B9E14692A4}" name="A16.2"/>
    <tableColumn id="70" xr3:uid="{4D3DCDA8-0355-7A4F-879B-FA643E7C73C1}" name="A16.3"/>
    <tableColumn id="71" xr3:uid="{353C47AA-E95E-2F41-8A1E-4F6EAFC57A6B}" name="A16.4"/>
    <tableColumn id="72" xr3:uid="{6407B7DA-DA92-2D47-BADD-0C56B7928C6C}" name="A17.1"/>
    <tableColumn id="73" xr3:uid="{CBB51466-222C-1F4A-A00F-DEC7E10BE5CD}" name="A17.2"/>
    <tableColumn id="74" xr3:uid="{406DFE28-8D7F-CB41-9920-EFA6F90029A3}" name="A17.3"/>
    <tableColumn id="75" xr3:uid="{38147919-5E53-D947-BD4A-E14D8AB661B2}" name="A17.4"/>
    <tableColumn id="76" xr3:uid="{186E224C-EF6F-AB4E-AD8E-6D126DF5F93A}" name="A17.5"/>
    <tableColumn id="77" xr3:uid="{825BCF3F-579F-4E47-BD6E-74D44CF7AA0C}" name="A18.1"/>
    <tableColumn id="78" xr3:uid="{1A940008-1048-F344-905C-C615B0DFA5F1}" name="A18.2"/>
    <tableColumn id="79" xr3:uid="{A5632A72-228F-214D-B691-B49B3C020D7E}" name="A18.3"/>
    <tableColumn id="80" xr3:uid="{3201AE19-5DF1-8A4F-8715-9253A9FCF783}" name="A18.4"/>
    <tableColumn id="81" xr3:uid="{80F9E47C-EB73-2D41-B8E5-DFAA37DDC412}" name="A18.5"/>
    <tableColumn id="82" xr3:uid="{5E3BB6A0-EAA2-6F4E-981D-923A53E57119}" name="A18.6"/>
    <tableColumn id="83" xr3:uid="{F8EC65D7-1682-C048-BCAC-34300B603C86}" name="A18.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775E3-721C-5A42-8FE4-8C23B9B9A3B4}" name="Institution_Category_Counts" displayName="Institution_Category_Counts" ref="A1:T44" tableType="queryTable" totalsRowShown="0">
  <autoFilter ref="A1:T44" xr:uid="{308775E3-721C-5A42-8FE4-8C23B9B9A3B4}"/>
  <tableColumns count="20">
    <tableColumn id="1" xr3:uid="{94CC8347-9F0E-EC47-9C40-B90FE1903C44}" uniqueName="1" name="Institution" queryTableFieldId="1" dataDxfId="1"/>
    <tableColumn id="2" xr3:uid="{0175C1C9-ACAE-5A40-89AC-C38CCBFA0B02}" uniqueName="2" name="Governance" queryTableFieldId="2"/>
    <tableColumn id="3" xr3:uid="{2AA81848-2E1A-D54F-8C98-DAFE12CCBC07}" uniqueName="3" name="Information" queryTableFieldId="3"/>
    <tableColumn id="4" xr3:uid="{A954BFB8-C612-914F-B7AC-4C821B87E7A9}" uniqueName="4" name="Economic_mechs" queryTableFieldId="4"/>
    <tableColumn id="5" xr3:uid="{788D076D-0763-0149-9A9B-7DF58BE5195A}" uniqueName="5" name="Environmental_manage" queryTableFieldId="5"/>
    <tableColumn id="6" xr3:uid="{7822055C-F954-4C46-9F1F-46544D31CA37}" uniqueName="6" name="Sustainability" queryTableFieldId="6"/>
    <tableColumn id="7" xr3:uid="{4AFBC77E-CF2D-A248-809D-BC475DEED97C}" uniqueName="7" name="Regulatory_enable" queryTableFieldId="7"/>
    <tableColumn id="8" xr3:uid="{9C2223CB-B693-C549-866C-5FB3237C16A3}" uniqueName="8" name="Permitting" queryTableFieldId="8"/>
    <tableColumn id="9" xr3:uid="{F2BB1EBE-6675-0846-8652-991F71DD5268}" uniqueName="9" name="Compatibility" queryTableFieldId="9"/>
    <tableColumn id="10" xr3:uid="{31CEB0E1-AC7E-6640-BC2A-7E8B7AF83EA4}" uniqueName="10" name="Enabling_infra" queryTableFieldId="10"/>
    <tableColumn id="11" xr3:uid="{36AC2526-C9F9-1A4A-9C2E-15B918B96D0C}" uniqueName="11" name="Demographic" queryTableFieldId="11"/>
    <tableColumn id="12" xr3:uid="{EF93A1F8-43FA-E943-8A11-FAA06B89B361}" uniqueName="12" name="Electrictiry_trans" queryTableFieldId="12"/>
    <tableColumn id="13" xr3:uid="{0333B26C-D6DB-744D-BF12-5178D5627E64}" uniqueName="13" name="Decarbonising" queryTableFieldId="13"/>
    <tableColumn id="14" xr3:uid="{C65EDADD-2F4A-2F4D-99F3-E7C7922AC2B9}" uniqueName="14" name="Demonstrative" queryTableFieldId="14"/>
    <tableColumn id="15" xr3:uid="{7C657880-846C-1247-8043-D4877236428C}" uniqueName="15" name="Productive_link" queryTableFieldId="15"/>
    <tableColumn id="16" xr3:uid="{74503700-4005-EA4A-B2DB-CECC9EADA93C}" uniqueName="16" name="Human_cap" queryTableFieldId="16"/>
    <tableColumn id="17" xr3:uid="{07A6AF67-228B-1544-96AF-C8BFF8C5C36D}" uniqueName="17" name="Gender" queryTableFieldId="17"/>
    <tableColumn id="18" xr3:uid="{27500C2B-3409-364A-B9D2-F93945AC0CDD}" uniqueName="18" name="Research" queryTableFieldId="18"/>
    <tableColumn id="19" xr3:uid="{6E83A5C3-1240-6D4A-B078-70FC8A67C61C}" uniqueName="19" name="International" queryTableFieldId="19"/>
    <tableColumn id="20" xr3:uid="{16F10917-48C2-1141-B2D9-E81FCF186F3E}" uniqueName="20" name="total" queryTableFieldId="20" dataDxfId="0">
      <calculatedColumnFormula>SUM(Institution_Category_Counts[[#This Row],[Governance]:[International]])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71AB-68EA-EE49-93F2-A6BBEF2835CF}">
  <dimension ref="A1:CE44"/>
  <sheetViews>
    <sheetView tabSelected="1" zoomScale="120" zoomScaleNormal="120" workbookViewId="0">
      <pane xSplit="1" topLeftCell="B1" activePane="topRight" state="frozen"/>
      <selection pane="topRight" activeCell="D12" sqref="D12"/>
    </sheetView>
  </sheetViews>
  <sheetFormatPr baseColWidth="10" defaultRowHeight="15" x14ac:dyDescent="0.2"/>
  <cols>
    <col min="1" max="1" width="40.83203125" customWidth="1"/>
  </cols>
  <sheetData>
    <row r="1" spans="1:83" x14ac:dyDescent="0.2">
      <c r="A1" s="1" t="s">
        <v>2</v>
      </c>
      <c r="B1" s="1" t="s">
        <v>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66</v>
      </c>
      <c r="AM1" s="1" t="s">
        <v>67</v>
      </c>
      <c r="AN1" s="1" t="s">
        <v>69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106</v>
      </c>
      <c r="BR1" s="1" t="s">
        <v>107</v>
      </c>
      <c r="BS1" s="1" t="s">
        <v>108</v>
      </c>
      <c r="BT1" s="1" t="s">
        <v>109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125</v>
      </c>
      <c r="CE1" s="1" t="s">
        <v>126</v>
      </c>
    </row>
    <row r="2" spans="1:83" x14ac:dyDescent="0.2">
      <c r="A2" t="s">
        <v>20</v>
      </c>
      <c r="B2">
        <f t="shared" ref="B2:B44" si="0">SUM(C2:CE2)</f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83" x14ac:dyDescent="0.2">
      <c r="A3" s="1" t="s">
        <v>156</v>
      </c>
      <c r="B3">
        <f t="shared" si="0"/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 spans="1:83" x14ac:dyDescent="0.2">
      <c r="A4" s="1" t="s">
        <v>54</v>
      </c>
      <c r="B4">
        <f t="shared" si="0"/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 spans="1:83" x14ac:dyDescent="0.2">
      <c r="A5" t="s">
        <v>62</v>
      </c>
      <c r="B5">
        <f t="shared" si="0"/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 spans="1:83" x14ac:dyDescent="0.2">
      <c r="A6" s="1" t="s">
        <v>160</v>
      </c>
      <c r="B6">
        <f t="shared" si="0"/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</row>
    <row r="7" spans="1:83" x14ac:dyDescent="0.2">
      <c r="A7" s="1" t="s">
        <v>65</v>
      </c>
      <c r="B7">
        <f t="shared" si="0"/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</row>
    <row r="8" spans="1:83" x14ac:dyDescent="0.2">
      <c r="A8" t="s">
        <v>70</v>
      </c>
      <c r="B8">
        <f t="shared" si="0"/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 spans="1:83" x14ac:dyDescent="0.2">
      <c r="A9" t="s">
        <v>71</v>
      </c>
      <c r="B9">
        <f t="shared" si="0"/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 spans="1:83" x14ac:dyDescent="0.2">
      <c r="A10" s="1" t="s">
        <v>78</v>
      </c>
      <c r="B10">
        <f t="shared" si="0"/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</row>
    <row r="11" spans="1:83" x14ac:dyDescent="0.2">
      <c r="A11" s="1" t="s">
        <v>92</v>
      </c>
      <c r="B11">
        <f t="shared" si="0"/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 spans="1:83" x14ac:dyDescent="0.2">
      <c r="A12" s="1" t="s">
        <v>163</v>
      </c>
      <c r="B12">
        <f t="shared" si="0"/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1:83" x14ac:dyDescent="0.2">
      <c r="A13" s="1" t="s">
        <v>111</v>
      </c>
      <c r="B13">
        <f t="shared" si="0"/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x14ac:dyDescent="0.2">
      <c r="A14" t="s">
        <v>112</v>
      </c>
      <c r="B14">
        <f t="shared" si="0"/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1:83" x14ac:dyDescent="0.2">
      <c r="A15" s="1" t="s">
        <v>118</v>
      </c>
      <c r="B15">
        <f t="shared" si="0"/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 spans="1:83" x14ac:dyDescent="0.2">
      <c r="A16" s="1" t="s">
        <v>119</v>
      </c>
      <c r="B16">
        <f t="shared" si="0"/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x14ac:dyDescent="0.2">
      <c r="A17" t="s">
        <v>7</v>
      </c>
      <c r="B17">
        <f t="shared" si="0"/>
        <v>2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 spans="1:83" x14ac:dyDescent="0.2">
      <c r="A18" s="1" t="s">
        <v>153</v>
      </c>
      <c r="B18">
        <f t="shared" si="0"/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x14ac:dyDescent="0.2">
      <c r="A19" s="1" t="s">
        <v>157</v>
      </c>
      <c r="B19">
        <f t="shared" si="0"/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x14ac:dyDescent="0.2">
      <c r="A20" s="1" t="s">
        <v>159</v>
      </c>
      <c r="B20">
        <f t="shared" si="0"/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 spans="1:83" x14ac:dyDescent="0.2">
      <c r="A21" s="1" t="s">
        <v>86</v>
      </c>
      <c r="B21">
        <f t="shared" si="0"/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x14ac:dyDescent="0.2">
      <c r="A22" s="1" t="s">
        <v>98</v>
      </c>
      <c r="B22">
        <f t="shared" si="0"/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</row>
    <row r="23" spans="1:83" x14ac:dyDescent="0.2">
      <c r="A23" s="1" t="s">
        <v>164</v>
      </c>
      <c r="B23">
        <f t="shared" si="0"/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1</v>
      </c>
    </row>
    <row r="24" spans="1:83" x14ac:dyDescent="0.2">
      <c r="A24" s="1" t="s">
        <v>147</v>
      </c>
      <c r="B24">
        <f t="shared" si="0"/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3" x14ac:dyDescent="0.2">
      <c r="A25" s="1" t="s">
        <v>64</v>
      </c>
      <c r="B25">
        <f t="shared" si="0"/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x14ac:dyDescent="0.2">
      <c r="A26" s="1" t="s">
        <v>161</v>
      </c>
      <c r="B26">
        <f t="shared" si="0"/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x14ac:dyDescent="0.2">
      <c r="A27" t="s">
        <v>72</v>
      </c>
      <c r="B27">
        <f t="shared" si="0"/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x14ac:dyDescent="0.2">
      <c r="A28" s="1" t="s">
        <v>14</v>
      </c>
      <c r="B28">
        <f t="shared" si="0"/>
        <v>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</row>
    <row r="29" spans="1:83" x14ac:dyDescent="0.2">
      <c r="A29" s="1" t="s">
        <v>152</v>
      </c>
      <c r="B29">
        <f t="shared" si="0"/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</row>
    <row r="30" spans="1:83" x14ac:dyDescent="0.2">
      <c r="A30" s="1" t="s">
        <v>154</v>
      </c>
      <c r="B30">
        <f t="shared" si="0"/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</row>
    <row r="31" spans="1:83" x14ac:dyDescent="0.2">
      <c r="A31" s="1" t="s">
        <v>158</v>
      </c>
      <c r="B31">
        <f t="shared" si="0"/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</row>
    <row r="32" spans="1:83" x14ac:dyDescent="0.2">
      <c r="A32" s="1" t="s">
        <v>162</v>
      </c>
      <c r="B32">
        <f t="shared" si="0"/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x14ac:dyDescent="0.2">
      <c r="A33" t="s">
        <v>16</v>
      </c>
      <c r="B33">
        <f t="shared" si="0"/>
        <v>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1:83" x14ac:dyDescent="0.2">
      <c r="A34" s="1" t="s">
        <v>150</v>
      </c>
      <c r="B34">
        <f t="shared" si="0"/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x14ac:dyDescent="0.2">
      <c r="A35" s="1" t="s">
        <v>155</v>
      </c>
      <c r="B35">
        <f t="shared" si="0"/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</row>
    <row r="36" spans="1:83" x14ac:dyDescent="0.2">
      <c r="A36" s="1" t="s">
        <v>146</v>
      </c>
      <c r="B36">
        <f t="shared" si="0"/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 spans="1:83" x14ac:dyDescent="0.2">
      <c r="A37" s="1" t="s">
        <v>151</v>
      </c>
      <c r="B37">
        <f t="shared" si="0"/>
        <v>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</row>
    <row r="38" spans="1:83" x14ac:dyDescent="0.2">
      <c r="A38" s="1" t="s">
        <v>6</v>
      </c>
      <c r="B38">
        <f t="shared" si="0"/>
        <v>8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x14ac:dyDescent="0.2">
      <c r="A39" t="s">
        <v>8</v>
      </c>
      <c r="B39">
        <f t="shared" si="0"/>
        <v>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x14ac:dyDescent="0.2">
      <c r="A40" s="1" t="s">
        <v>15</v>
      </c>
      <c r="B40">
        <f t="shared" si="0"/>
        <v>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 spans="1:83" x14ac:dyDescent="0.2">
      <c r="A41" s="1" t="s">
        <v>149</v>
      </c>
      <c r="B41">
        <f t="shared" si="0"/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1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x14ac:dyDescent="0.2">
      <c r="A42" s="1" t="s">
        <v>4</v>
      </c>
      <c r="B42">
        <f t="shared" si="0"/>
        <v>15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 spans="1:83" x14ac:dyDescent="0.2">
      <c r="A43" s="1" t="s">
        <v>148</v>
      </c>
      <c r="B43">
        <f t="shared" si="0"/>
        <v>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0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 spans="1:83" x14ac:dyDescent="0.2">
      <c r="A44" s="1" t="s">
        <v>145</v>
      </c>
      <c r="B44">
        <f t="shared" si="0"/>
        <v>56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1</v>
      </c>
      <c r="BI44">
        <v>0</v>
      </c>
      <c r="BJ44">
        <v>1</v>
      </c>
      <c r="BK44">
        <v>1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1</v>
      </c>
      <c r="CD44">
        <v>1</v>
      </c>
      <c r="CE44">
        <v>1</v>
      </c>
    </row>
  </sheetData>
  <phoneticPr fontId="2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0BAE-D60D-7943-944C-B87559143588}">
  <dimension ref="A1:T46"/>
  <sheetViews>
    <sheetView zoomScale="125" zoomScaleNormal="130" workbookViewId="0">
      <selection activeCell="B1" sqref="B1"/>
    </sheetView>
  </sheetViews>
  <sheetFormatPr baseColWidth="10" defaultRowHeight="15" x14ac:dyDescent="0.2"/>
  <cols>
    <col min="1" max="1" width="60" bestFit="1" customWidth="1"/>
    <col min="2" max="2" width="12.5" customWidth="1"/>
    <col min="3" max="3" width="12" customWidth="1"/>
    <col min="4" max="4" width="16.83203125" customWidth="1"/>
    <col min="5" max="5" width="21.1640625" customWidth="1"/>
    <col min="6" max="6" width="13.5" customWidth="1"/>
    <col min="7" max="7" width="18" customWidth="1"/>
    <col min="8" max="8" width="11.1640625" customWidth="1"/>
    <col min="9" max="9" width="13.83203125" customWidth="1"/>
    <col min="10" max="10" width="14.33203125" customWidth="1"/>
    <col min="11" max="11" width="14.1640625" customWidth="1"/>
    <col min="12" max="12" width="17.1640625" customWidth="1"/>
    <col min="13" max="14" width="16" customWidth="1"/>
    <col min="15" max="15" width="16.1640625" customWidth="1"/>
    <col min="16" max="16" width="12.6640625" customWidth="1"/>
    <col min="17" max="17" width="10" customWidth="1"/>
    <col min="18" max="18" width="10.5" bestFit="1" customWidth="1"/>
    <col min="19" max="19" width="13.83203125" customWidth="1"/>
  </cols>
  <sheetData>
    <row r="1" spans="1:20" x14ac:dyDescent="0.2">
      <c r="A1" t="s">
        <v>2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</v>
      </c>
      <c r="R1" s="1" t="s">
        <v>143</v>
      </c>
      <c r="S1" s="1" t="s">
        <v>144</v>
      </c>
      <c r="T1" s="1" t="s">
        <v>127</v>
      </c>
    </row>
    <row r="2" spans="1:20" x14ac:dyDescent="0.2">
      <c r="A2" t="s">
        <v>4</v>
      </c>
      <c r="B2">
        <v>1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1</v>
      </c>
      <c r="Q2">
        <v>4</v>
      </c>
      <c r="R2">
        <v>2</v>
      </c>
      <c r="S2">
        <v>0</v>
      </c>
      <c r="T2">
        <f>SUM(Institution_Category_Counts[[#This Row],[Governance]:[International]])</f>
        <v>15</v>
      </c>
    </row>
    <row r="3" spans="1:20" x14ac:dyDescent="0.2">
      <c r="A3" t="s">
        <v>5</v>
      </c>
      <c r="B3">
        <v>4</v>
      </c>
      <c r="C3">
        <v>4</v>
      </c>
      <c r="D3">
        <v>6</v>
      </c>
      <c r="E3">
        <v>1</v>
      </c>
      <c r="F3">
        <v>4</v>
      </c>
      <c r="G3">
        <v>1</v>
      </c>
      <c r="H3">
        <v>3</v>
      </c>
      <c r="I3">
        <v>2</v>
      </c>
      <c r="J3">
        <v>2</v>
      </c>
      <c r="K3">
        <v>2</v>
      </c>
      <c r="L3">
        <v>4</v>
      </c>
      <c r="M3">
        <v>3</v>
      </c>
      <c r="N3">
        <v>2</v>
      </c>
      <c r="O3">
        <v>1</v>
      </c>
      <c r="P3">
        <v>5</v>
      </c>
      <c r="Q3">
        <v>4</v>
      </c>
      <c r="R3">
        <v>3</v>
      </c>
      <c r="S3">
        <v>5</v>
      </c>
      <c r="T3">
        <f>SUM(Institution_Category_Counts[[#This Row],[Governance]:[International]])</f>
        <v>56</v>
      </c>
    </row>
    <row r="4" spans="1:20" x14ac:dyDescent="0.2">
      <c r="A4" t="s">
        <v>6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f>SUM(Institution_Category_Counts[[#This Row],[Governance]:[International]])</f>
        <v>8</v>
      </c>
    </row>
    <row r="5" spans="1:20" x14ac:dyDescent="0.2">
      <c r="A5" t="s">
        <v>7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>SUM(Institution_Category_Counts[[#This Row],[Governance]:[International]])</f>
        <v>2</v>
      </c>
    </row>
    <row r="6" spans="1:20" x14ac:dyDescent="0.2">
      <c r="A6" t="s">
        <v>0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0</v>
      </c>
      <c r="R6">
        <v>1</v>
      </c>
      <c r="S6">
        <v>0</v>
      </c>
      <c r="T6">
        <f>SUM(Institution_Category_Counts[[#This Row],[Governance]:[International]])</f>
        <v>7</v>
      </c>
    </row>
    <row r="7" spans="1:20" x14ac:dyDescent="0.2">
      <c r="A7" t="s">
        <v>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4</v>
      </c>
      <c r="Q7">
        <v>1</v>
      </c>
      <c r="R7">
        <v>1</v>
      </c>
      <c r="S7">
        <v>0</v>
      </c>
      <c r="T7">
        <f>SUM(Institution_Category_Counts[[#This Row],[Governance]:[International]])</f>
        <v>9</v>
      </c>
    </row>
    <row r="8" spans="1:20" x14ac:dyDescent="0.2">
      <c r="A8" t="s">
        <v>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>SUM(Institution_Category_Counts[[#This Row],[Governance]:[International]])</f>
        <v>3</v>
      </c>
    </row>
    <row r="9" spans="1:20" x14ac:dyDescent="0.2">
      <c r="A9" t="s">
        <v>10</v>
      </c>
      <c r="B9">
        <v>0</v>
      </c>
      <c r="C9">
        <v>0</v>
      </c>
      <c r="D9">
        <v>5</v>
      </c>
      <c r="E9">
        <v>1</v>
      </c>
      <c r="F9">
        <v>0</v>
      </c>
      <c r="G9">
        <v>1</v>
      </c>
      <c r="H9">
        <v>2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2</v>
      </c>
      <c r="Q9">
        <v>3</v>
      </c>
      <c r="R9">
        <v>4</v>
      </c>
      <c r="S9">
        <v>0</v>
      </c>
      <c r="T9">
        <f>SUM(Institution_Category_Counts[[#This Row],[Governance]:[International]])</f>
        <v>21</v>
      </c>
    </row>
    <row r="10" spans="1:20" x14ac:dyDescent="0.2">
      <c r="A10" t="s">
        <v>11</v>
      </c>
      <c r="B10">
        <v>0</v>
      </c>
      <c r="C10">
        <v>0</v>
      </c>
      <c r="D10">
        <v>5</v>
      </c>
      <c r="E10">
        <v>1</v>
      </c>
      <c r="F10">
        <v>0</v>
      </c>
      <c r="G10">
        <v>0</v>
      </c>
      <c r="H10">
        <v>2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4</v>
      </c>
      <c r="S10">
        <v>0</v>
      </c>
      <c r="T10">
        <f>SUM(Institution_Category_Counts[[#This Row],[Governance]:[International]])</f>
        <v>14</v>
      </c>
    </row>
    <row r="11" spans="1:20" x14ac:dyDescent="0.2">
      <c r="A11" t="s">
        <v>12</v>
      </c>
      <c r="B11">
        <v>0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>SUM(Institution_Category_Counts[[#This Row],[Governance]:[International]])</f>
        <v>6</v>
      </c>
    </row>
    <row r="12" spans="1:20" x14ac:dyDescent="0.2">
      <c r="A12" t="s">
        <v>13</v>
      </c>
      <c r="B12">
        <v>0</v>
      </c>
      <c r="C12">
        <v>0</v>
      </c>
      <c r="D12">
        <v>2</v>
      </c>
      <c r="E12">
        <v>2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f>SUM(Institution_Category_Counts[[#This Row],[Governance]:[International]])</f>
        <v>7</v>
      </c>
    </row>
    <row r="13" spans="1:20" x14ac:dyDescent="0.2">
      <c r="A13" t="s">
        <v>14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f>SUM(Institution_Category_Counts[[#This Row],[Governance]:[International]])</f>
        <v>4</v>
      </c>
    </row>
    <row r="14" spans="1:20" x14ac:dyDescent="0.2">
      <c r="A14" t="s">
        <v>15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2</v>
      </c>
      <c r="Q14">
        <v>0</v>
      </c>
      <c r="R14">
        <v>2</v>
      </c>
      <c r="S14">
        <v>0</v>
      </c>
      <c r="T14">
        <f>SUM(Institution_Category_Counts[[#This Row],[Governance]:[International]])</f>
        <v>9</v>
      </c>
    </row>
    <row r="15" spans="1:20" x14ac:dyDescent="0.2">
      <c r="A15" t="s">
        <v>16</v>
      </c>
      <c r="B15">
        <v>0</v>
      </c>
      <c r="C15">
        <v>0</v>
      </c>
      <c r="D15">
        <v>0</v>
      </c>
      <c r="E15">
        <v>2</v>
      </c>
      <c r="F15">
        <v>1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>SUM(Institution_Category_Counts[[#This Row],[Governance]:[International]])</f>
        <v>5</v>
      </c>
    </row>
    <row r="16" spans="1:20" x14ac:dyDescent="0.2">
      <c r="A16" t="s">
        <v>17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f>SUM(Institution_Category_Counts[[#This Row],[Governance]:[International]])</f>
        <v>4</v>
      </c>
    </row>
    <row r="17" spans="1:20" x14ac:dyDescent="0.2">
      <c r="A17" t="s">
        <v>18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>SUM(Institution_Category_Counts[[#This Row],[Governance]:[International]])</f>
        <v>2</v>
      </c>
    </row>
    <row r="18" spans="1:20" x14ac:dyDescent="0.2">
      <c r="A18" t="s">
        <v>19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1</v>
      </c>
      <c r="R18">
        <v>0</v>
      </c>
      <c r="S18">
        <v>0</v>
      </c>
      <c r="T18">
        <f>SUM(Institution_Category_Counts[[#This Row],[Governance]:[International]])</f>
        <v>4</v>
      </c>
    </row>
    <row r="19" spans="1:20" x14ac:dyDescent="0.2">
      <c r="A19" t="s">
        <v>20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>SUM(Institution_Category_Counts[[#This Row],[Governance]:[International]])</f>
        <v>1</v>
      </c>
    </row>
    <row r="20" spans="1:20" x14ac:dyDescent="0.2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f>SUM(Institution_Category_Counts[[#This Row],[Governance]:[International]])</f>
        <v>6</v>
      </c>
    </row>
    <row r="21" spans="1:20" x14ac:dyDescent="0.2">
      <c r="A2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>SUM(Institution_Category_Counts[[#This Row],[Governance]:[International]])</f>
        <v>1</v>
      </c>
    </row>
    <row r="22" spans="1:20" x14ac:dyDescent="0.2">
      <c r="A22" t="s">
        <v>23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f>SUM(Institution_Category_Counts[[#This Row],[Governance]:[International]])</f>
        <v>2</v>
      </c>
    </row>
    <row r="23" spans="1:20" x14ac:dyDescent="0.2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f>SUM(Institution_Category_Counts[[#This Row],[Governance]:[International]])</f>
        <v>1</v>
      </c>
    </row>
    <row r="24" spans="1:20" x14ac:dyDescent="0.2">
      <c r="A24" t="s">
        <v>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f>SUM(Institution_Category_Counts[[#This Row],[Governance]:[International]])</f>
        <v>4</v>
      </c>
    </row>
    <row r="25" spans="1:20" x14ac:dyDescent="0.2">
      <c r="A25" t="s">
        <v>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f>SUM(Institution_Category_Counts[[#This Row],[Governance]:[International]])</f>
        <v>2</v>
      </c>
    </row>
    <row r="26" spans="1:20" x14ac:dyDescent="0.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f>SUM(Institution_Category_Counts[[#This Row],[Governance]:[International]])</f>
        <v>1</v>
      </c>
    </row>
    <row r="27" spans="1:20" x14ac:dyDescent="0.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>SUM(Institution_Category_Counts[[#This Row],[Governance]:[International]])</f>
        <v>1</v>
      </c>
    </row>
    <row r="28" spans="1:20" x14ac:dyDescent="0.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>SUM(Institution_Category_Counts[[#This Row],[Governance]:[International]])</f>
        <v>3</v>
      </c>
    </row>
    <row r="29" spans="1:20" x14ac:dyDescent="0.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>SUM(Institution_Category_Counts[[#This Row],[Governance]:[International]])</f>
        <v>1</v>
      </c>
    </row>
    <row r="30" spans="1:20" x14ac:dyDescent="0.2">
      <c r="A30" t="s">
        <v>68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f>SUM(Institution_Category_Counts[[#This Row],[Governance]:[International]])</f>
        <v>3</v>
      </c>
    </row>
    <row r="31" spans="1:20" x14ac:dyDescent="0.2">
      <c r="A31" t="s">
        <v>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>SUM(Institution_Category_Counts[[#This Row],[Governance]:[International]])</f>
        <v>1</v>
      </c>
    </row>
    <row r="32" spans="1:20" x14ac:dyDescent="0.2">
      <c r="A32" t="s">
        <v>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f>SUM(Institution_Category_Counts[[#This Row],[Governance]:[International]])</f>
        <v>1</v>
      </c>
    </row>
    <row r="33" spans="1:20" x14ac:dyDescent="0.2">
      <c r="A33" t="s">
        <v>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>SUM(Institution_Category_Counts[[#This Row],[Governance]:[International]])</f>
        <v>3</v>
      </c>
    </row>
    <row r="34" spans="1:20" x14ac:dyDescent="0.2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>SUM(Institution_Category_Counts[[#This Row],[Governance]:[International]])</f>
        <v>1</v>
      </c>
    </row>
    <row r="35" spans="1:20" x14ac:dyDescent="0.2">
      <c r="A35" t="s">
        <v>86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>SUM(Institution_Category_Counts[[#This Row],[Governance]:[International]])</f>
        <v>2</v>
      </c>
    </row>
    <row r="36" spans="1:20" x14ac:dyDescent="0.2">
      <c r="A36" t="s">
        <v>92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f>SUM(Institution_Category_Counts[[#This Row],[Governance]:[International]])</f>
        <v>1</v>
      </c>
    </row>
    <row r="37" spans="1:20" x14ac:dyDescent="0.2">
      <c r="A37" t="s">
        <v>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f>SUM(Institution_Category_Counts[[#This Row],[Governance]:[International]])</f>
        <v>2</v>
      </c>
    </row>
    <row r="38" spans="1:20" x14ac:dyDescent="0.2">
      <c r="A38" t="s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0</v>
      </c>
      <c r="S38">
        <v>0</v>
      </c>
      <c r="T38">
        <f>SUM(Institution_Category_Counts[[#This Row],[Governance]:[International]])</f>
        <v>4</v>
      </c>
    </row>
    <row r="39" spans="1:20" x14ac:dyDescent="0.2">
      <c r="A39" t="s">
        <v>110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f>SUM(Institution_Category_Counts[[#This Row],[Governance]:[International]])</f>
        <v>1</v>
      </c>
    </row>
    <row r="40" spans="1:20" x14ac:dyDescent="0.2">
      <c r="A40" t="s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f>SUM(Institution_Category_Counts[[#This Row],[Governance]:[International]])</f>
        <v>1</v>
      </c>
    </row>
    <row r="41" spans="1:20" x14ac:dyDescent="0.2">
      <c r="A41" t="s">
        <v>112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f>SUM(Institution_Category_Counts[[#This Row],[Governance]:[International]])</f>
        <v>1</v>
      </c>
    </row>
    <row r="42" spans="1:20" x14ac:dyDescent="0.2">
      <c r="A42" t="s">
        <v>118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f>SUM(Institution_Category_Counts[[#This Row],[Governance]:[International]])</f>
        <v>1</v>
      </c>
    </row>
    <row r="43" spans="1:20" x14ac:dyDescent="0.2">
      <c r="A43" t="s">
        <v>119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f>SUM(Institution_Category_Counts[[#This Row],[Governance]:[International]])</f>
        <v>1</v>
      </c>
    </row>
    <row r="44" spans="1:20" x14ac:dyDescent="0.2">
      <c r="A44" t="s">
        <v>120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f>SUM(Institution_Category_Counts[[#This Row],[Governance]:[International]])</f>
        <v>2</v>
      </c>
    </row>
    <row r="46" spans="1:20" x14ac:dyDescent="0.2">
      <c r="T46">
        <f>SUM(Institution_Category_Counts[total])</f>
        <v>224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21C7F3-F1A3-9C40-B9C2-876B5AD600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Institutions count</vt:lpstr>
      <vt:lpstr>Institution count by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Marcelo Navarrete Oyanedel</cp:lastModifiedBy>
  <dcterms:modified xsi:type="dcterms:W3CDTF">2026-07-28T16:31:14Z</dcterms:modified>
</cp:coreProperties>
</file>